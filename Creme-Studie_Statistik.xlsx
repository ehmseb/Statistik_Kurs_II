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 – Rohdaten" sheetId="1" state="visible" r:id="rId3"/>
    <sheet name="2 – Lageparameter" sheetId="2" state="visible" r:id="rId4"/>
    <sheet name="3 – Streuung" sheetId="3" state="visible" r:id="rId5"/>
    <sheet name="4 – Normalverteilung" sheetId="4" state="visible" r:id="rId6"/>
    <sheet name="5 – Signifikanztests" sheetId="5" state="visible" r:id="rId7"/>
    <sheet name="6 – Vertrauensintervall" sheetId="6" state="visible" r:id="rId8"/>
    <sheet name="7 – Meine Date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<sst xmlns="http://schemas.openxmlformats.org/spreadsheetml/2006/main" count="147" uniqueCount="99">
  <si>
    <t xml:space="preserve">Creme-Studie – Rohdaten</t>
  </si>
  <si>
    <t xml:space="preserve">Skala: 1 = sehr schlecht  ·  9 = sehr gut  ·  n = 20 Testpersonen</t>
  </si>
  <si>
    <t xml:space="preserve">Person</t>
  </si>
  <si>
    <t xml:space="preserve">Creme 1</t>
  </si>
  <si>
    <t xml:space="preserve">Creme 2</t>
  </si>
  <si>
    <t xml:space="preserve">Creme 3</t>
  </si>
  <si>
    <t xml:space="preserve">Creme 4</t>
  </si>
  <si>
    <t xml:space="preserve">Summe</t>
  </si>
  <si>
    <t xml:space="preserve">Mittelwert</t>
  </si>
  <si>
    <t xml:space="preserve">Lageparameter – Modalwert · Median · Mittelwert</t>
  </si>
  <si>
    <t xml:space="preserve">Werte automatisch aus den Rohdaten berechnet</t>
  </si>
  <si>
    <t xml:space="preserve">Kennzahl</t>
  </si>
  <si>
    <t xml:space="preserve">Erklärung</t>
  </si>
  <si>
    <t xml:space="preserve">Modalwert (Modus)</t>
  </si>
  <si>
    <t xml:space="preserve">Häufigster Wert • Erlaubt für nominal, ordinal, metrisch</t>
  </si>
  <si>
    <t xml:space="preserve">Median (50. Perzentil)</t>
  </si>
  <si>
    <t xml:space="preserve">Mittlerer Wert • Erlaubt für ordinal, metrisch</t>
  </si>
  <si>
    <t xml:space="preserve">Mittelwert (Durchschnitt)</t>
  </si>
  <si>
    <t xml:space="preserve">Arithmetisches Mittel • Streng nur metrisch</t>
  </si>
  <si>
    <t xml:space="preserve">Anzahl (n)</t>
  </si>
  <si>
    <t xml:space="preserve">Anzahl Messwerte</t>
  </si>
  <si>
    <t xml:space="preserve">Minimum</t>
  </si>
  <si>
    <t xml:space="preserve">Kleinster Wert</t>
  </si>
  <si>
    <t xml:space="preserve">Maximum</t>
  </si>
  <si>
    <t xml:space="preserve">Grösster Wert</t>
  </si>
  <si>
    <t xml:space="preserve">Hinweis: Bei mehreren gleich häufigen Werten (Bimodalität) zeigt MODE() nur den ersten Modus.</t>
  </si>
  <si>
    <t xml:space="preserve">Streumasse – Standardabweichung · Boxplot-Kennzahlen</t>
  </si>
  <si>
    <t xml:space="preserve">Erklärung / Excel-Formel</t>
  </si>
  <si>
    <t xml:space="preserve">Standardabweichung (SD)</t>
  </si>
  <si>
    <t xml:space="preserve">Varianz (SD²)</t>
  </si>
  <si>
    <t xml:space="preserve">VAR(bereich)</t>
  </si>
  <si>
    <t xml:space="preserve">MIN(bereich)</t>
  </si>
  <si>
    <t xml:space="preserve">1. Quartil Q1 (25. Perz.)</t>
  </si>
  <si>
    <t xml:space="preserve">Median Q2 (50. Perz.)</t>
  </si>
  <si>
    <t xml:space="preserve">MEDIAN(bereich)</t>
  </si>
  <si>
    <t xml:space="preserve">3. Quartil Q3 (75. Perz.)</t>
  </si>
  <si>
    <t xml:space="preserve">MAX(bereich)</t>
  </si>
  <si>
    <t xml:space="preserve">IQR (Q3 − Q1)</t>
  </si>
  <si>
    <t xml:space="preserve">Ausreisser-Grenze: Werte &lt; Q1 − 1.5×IQR oder &gt; Q3 + 1.5×IQR</t>
  </si>
  <si>
    <t xml:space="preserve">Normalverteilung – Häufigkeitstabelle &amp; Shapiro-Wilk-Orientierung</t>
  </si>
  <si>
    <t xml:space="preserve">Excel hat keinen eingebauten Shapiro-Wilk-Test. Visuelle Prüfung: Histogramm erstellen und auf Glockenform achten.  |  R: shapiro.test(x)  |  Python: scipy.stats.shapiro(x)</t>
  </si>
  <si>
    <t xml:space="preserve">Bewertung</t>
  </si>
  <si>
    <t xml:space="preserve">Gesamt</t>
  </si>
  <si>
    <t xml:space="preserve">Shapiro-Wilk – Entscheidungshilfe (manuell / visuell)</t>
  </si>
  <si>
    <t xml:space="preserve">Creme</t>
  </si>
  <si>
    <t xml:space="preserve">Visuelle Beurteilung (Histogramm)</t>
  </si>
  <si>
    <t xml:space="preserve">SW-Test (R/Python)</t>
  </si>
  <si>
    <t xml:space="preserve">Entscheidung</t>
  </si>
  <si>
    <t xml:space="preserve">Glockenform erkennbar, Peak bei 7</t>
  </si>
  <si>
    <t xml:space="preserve">p ≥ 0.05</t>
  </si>
  <si>
    <t xml:space="preserve">Normalverteilt – t-Test möglich</t>
  </si>
  <si>
    <t xml:space="preserve">Näherungsweise Glocke, Peak bei 5–6</t>
  </si>
  <si>
    <t xml:space="preserve">Annähernde Glockenform, Peak bei 6–7</t>
  </si>
  <si>
    <t xml:space="preserve">Eher gleichmässig, wenig Häufung</t>
  </si>
  <si>
    <t xml:space="preserve">prüfen!</t>
  </si>
  <si>
    <t xml:space="preserve">Prüfung empfohlen</t>
  </si>
  <si>
    <t xml:space="preserve">Signifikanztests – t-Test &amp; Mann-Whitney U-Test</t>
  </si>
  <si>
    <t xml:space="preserve">t-Test: Creme 1 vs. Creme 4  (metrisch, normalverteilt)</t>
  </si>
  <si>
    <t xml:space="preserve">Grösse</t>
  </si>
  <si>
    <t xml:space="preserve">Formel (Excel DE)</t>
  </si>
  <si>
    <t xml:space="preserve">Mittelwert (x̄)</t>
  </si>
  <si>
    <t xml:space="preserve">mittelwert(bereich)</t>
  </si>
  <si>
    <t xml:space="preserve">stabw(bereich)</t>
  </si>
  <si>
    <t xml:space="preserve">Stichprobengrösse (n)</t>
  </si>
  <si>
    <t xml:space="preserve">anzahl(bereich)</t>
  </si>
  <si>
    <t xml:space="preserve">p-Wert (t-Test, zweiseitig)</t>
  </si>
  <si>
    <t xml:space="preserve">—</t>
  </si>
  <si>
    <t xml:space="preserve">Signifikant? (α = 0.05)</t>
  </si>
  <si>
    <t xml:space="preserve">JA – p &lt; 0.001 ✓</t>
  </si>
  <si>
    <t xml:space="preserve">Mann-Whitney U-Test: Creme 1 vs. Creme 4  (nicht-parametrisch, Rangvergleich)</t>
  </si>
  <si>
    <t xml:space="preserve">Median</t>
  </si>
  <si>
    <t xml:space="preserve">Repräsentatives Lagemass für Rangtest</t>
  </si>
  <si>
    <t xml:space="preserve">Beide Gruppen n = 20</t>
  </si>
  <si>
    <t xml:space="preserve">p-Wert (R/Python)</t>
  </si>
  <si>
    <t xml:space="preserve">wilcox.test(c1, c4)  |  scipy.stats.mannwhitneyu()</t>
  </si>
  <si>
    <t xml:space="preserve">Signifikant?</t>
  </si>
  <si>
    <t xml:space="preserve">JA – p &lt; 0.05 ✓</t>
  </si>
  <si>
    <t xml:space="preserve">Creme 1 wird signifikant besser bewertet als Creme 4</t>
  </si>
  <si>
    <t xml:space="preserve">«Creme 1 wird signifikant besser bewertet als Creme 4 (Mann-Whitney U-Test, p = 0.003, Median C1 = 7 vs. Median C4 = 4).»</t>
  </si>
  <si>
    <t xml:space="preserve">95%-Vertrauensintervall (Konfidenzintervall) für den Mittelwert</t>
  </si>
  <si>
    <t xml:space="preserve">KI = x̄ ± 1.96 · (SD / √n)   →   Untere Grenze = x̄ − 1.96·(SD/√n)   ·   Obere Grenze = x̄ + 1.96·(SD/√n)</t>
  </si>
  <si>
    <t xml:space="preserve">Standardfehler (SD / √n)</t>
  </si>
  <si>
    <t xml:space="preserve">stabw(b)/wurzel(anzahl(b))</t>
  </si>
  <si>
    <t xml:space="preserve">Margin of Error (1.96 × SE)</t>
  </si>
  <si>
    <t xml:space="preserve">95%-KI Untergrenze</t>
  </si>
  <si>
    <t xml:space="preserve">95%-KI Obergrenze</t>
  </si>
  <si>
    <t xml:space="preserve">mittelwert + margin</t>
  </si>
  <si>
    <t xml:space="preserve">KI-Breite</t>
  </si>
  <si>
    <t xml:space="preserve">Interpretation: «Wir sind zu 95% sicher, dass der wahre mittlere Wert von Creme 1 in der Gesamtpopulation zwischen 6.78 und 7.62 liegt.»</t>
  </si>
  <si>
    <t xml:space="preserve">Meine Forschungsdaten – Vorlage</t>
  </si>
  <si>
    <t xml:space="preserve">Fülle hier deine eigenen Messwerte ein. Passe die Spaltentitel an deine Variablen an.</t>
  </si>
  <si>
    <t xml:space="preserve">Messung Nr.</t>
  </si>
  <si>
    <t xml:space="preserve">Variable A
(Gruppe 1)</t>
  </si>
  <si>
    <t xml:space="preserve">Variable B
(Gruppe 2)</t>
  </si>
  <si>
    <t xml:space="preserve">Variable C</t>
  </si>
  <si>
    <t xml:space="preserve">Variable D</t>
  </si>
  <si>
    <t xml:space="preserve">Auswertung (aktualisiert automatisch nach Dateneingabe)</t>
  </si>
  <si>
    <t xml:space="preserve">SD</t>
  </si>
  <si>
    <t xml:space="preserve">n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</si>
</sst>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.00"/>
    <numFmt numFmtId="168" formatCode="0"/>
    <numFmt numFmtId="169" formatCode="0.0000"/>
    <numFmt numFmtId="170" formatCode="@"/>
    <numFmt numFmtId="171" formatCode="0.000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libri"/>
      <family val="0"/>
      <charset val="1"/>
    </font>
    <font>
      <i val="true"/>
      <sz val="10"/>
      <color rgb="FF5A709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5A7090"/>
      <name val="Calibri"/>
      <family val="0"/>
      <charset val="1"/>
    </font>
    <font>
      <b val="true"/>
      <sz val="12"/>
      <color rgb="FF2C5FA8"/>
      <name val="Calibri"/>
      <family val="0"/>
      <charset val="1"/>
    </font>
    <font>
      <b val="true"/>
      <sz val="12"/>
      <color rgb="FF3C8058"/>
      <name val="Calibri"/>
      <family val="0"/>
      <charset val="1"/>
    </font>
    <font>
      <b val="true"/>
      <sz val="12"/>
      <color rgb="FFC97624"/>
      <name val="Calibri"/>
      <family val="0"/>
      <charset val="1"/>
    </font>
    <font>
      <b val="true"/>
      <sz val="12"/>
      <color rgb="FFB83232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4"/>
      <color rgb="FFFFFFFF"/>
      <name val="Calibri"/>
      <family val="0"/>
      <charset val="1"/>
    </font>
    <font>
      <i val="true"/>
      <sz val="9"/>
      <color rgb="FF5A7090"/>
      <name val="Calibri"/>
      <family val="0"/>
      <charset val="1"/>
    </font>
    <font>
      <b val="true"/>
      <sz val="10"/>
      <color rgb="FF1A2842"/>
      <name val="Calibri"/>
      <family val="0"/>
      <charset val="1"/>
    </font>
    <font>
      <b val="true"/>
      <sz val="12"/>
      <color rgb="FF5A7090"/>
      <name val="Calibri"/>
      <family val="0"/>
      <charset val="1"/>
    </font>
    <font>
      <sz val="9"/>
      <color rgb="FF5A7090"/>
      <name val="Courier New"/>
      <family val="0"/>
      <charset val="1"/>
    </font>
    <font>
      <b val="true"/>
      <sz val="11"/>
      <color rgb="FF1A2842"/>
      <name val="Calibri"/>
      <family val="0"/>
      <charset val="1"/>
    </font>
    <font>
      <sz val="11"/>
      <color rgb="FF1A2842"/>
      <name val="Calibri"/>
      <family val="0"/>
      <charset val="1"/>
    </font>
    <font>
      <sz val="11"/>
      <color rgb="FF3C8058"/>
      <name val="Calibri"/>
      <family val="0"/>
      <charset val="1"/>
    </font>
    <font>
      <sz val="11"/>
      <color rgb="FFC97624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2C5FA8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A2842"/>
        <bgColor rgb="FF003366"/>
      </patternFill>
    </fill>
    <fill>
      <patternFill patternType="solid">
        <fgColor rgb="FFF4F6FA"/>
        <bgColor rgb="FFF9F9F9"/>
      </patternFill>
    </fill>
    <fill>
      <patternFill patternType="solid">
        <fgColor rgb="FFEBF0F9"/>
        <bgColor rgb="FFEAF5EF"/>
      </patternFill>
    </fill>
    <fill>
      <patternFill patternType="solid">
        <fgColor rgb="FFFFFFFF"/>
        <bgColor rgb="FFF9F9F9"/>
      </patternFill>
    </fill>
    <fill>
      <patternFill patternType="solid">
        <fgColor rgb="FF2C5FA8"/>
        <bgColor rgb="FF5A7090"/>
      </patternFill>
    </fill>
    <fill>
      <patternFill patternType="solid">
        <fgColor rgb="FFEAF5EF"/>
        <bgColor rgb="FFEBF0F9"/>
      </patternFill>
    </fill>
    <fill>
      <patternFill patternType="solid">
        <fgColor rgb="FFFDF2E0"/>
        <bgColor rgb="FFF9F9F9"/>
      </patternFill>
    </fill>
    <fill>
      <patternFill patternType="solid">
        <fgColor rgb="FFC97624"/>
        <bgColor rgb="FFFF9900"/>
      </patternFill>
    </fill>
    <fill>
      <patternFill patternType="solid">
        <fgColor rgb="FFD0DDF5"/>
        <bgColor rgb="FFC9D6E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9D6EA"/>
      </left>
      <right style="thin">
        <color rgb="FFC9D6EA"/>
      </right>
      <top style="thin">
        <color rgb="FFC9D6EA"/>
      </top>
      <bottom style="thin">
        <color rgb="FFC9D6EA"/>
      </bottom>
      <diagonal/>
    </border>
    <border diagonalUp="false" diagonalDown="false">
      <left style="thin">
        <color rgb="FFC9D6EA"/>
      </left>
      <right/>
      <top style="thin">
        <color rgb="FFC9D6EA"/>
      </top>
      <bottom style="thin">
        <color rgb="FFC9D6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DF2E0"/>
      <rgbColor rgb="FFEAF5EF"/>
      <rgbColor rgb="FF660066"/>
      <rgbColor rgb="FFFF8080"/>
      <rgbColor rgb="FF2C5FA8"/>
      <rgbColor rgb="FFC9D6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0F9"/>
      <rgbColor rgb="FFF4F6FA"/>
      <rgbColor rgb="FFF9F9F9"/>
      <rgbColor rgb="FFD0DDF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97624"/>
      <rgbColor rgb="FF5A7090"/>
      <rgbColor rgb="FF969696"/>
      <rgbColor rgb="FF003366"/>
      <rgbColor rgb="FF3C8058"/>
      <rgbColor rgb="FF003300"/>
      <rgbColor rgb="FF333300"/>
      <rgbColor rgb="FFB83232"/>
      <rgbColor rgb="FF993366"/>
      <rgbColor rgb="FF333399"/>
      <rgbColor rgb="FF1A28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Häufigkeitsverteilung – Creme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'4 – Normalverteilung'!$B$4</c:f>
              <c:strCache>
                <c:ptCount val="1"/>
                <c:pt idx="0">
                  <c:v>Creme 1</c:v>
                </c:pt>
              </c:strCache>
            </c:strRef>
          </c:tx>
          <c:spPr>
            <a:solidFill>
              <a:srgbClr val="2c5fa8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– Normalverteilung'!$A$5:$A$13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'4 – Normalverteilung'!$B$5:$B$13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</c:v>
                </c:pt>
                <c:pt idx="6">
                  <c:v>8</c:v>
                </c:pt>
                <c:pt idx="7">
                  <c:v>5</c:v>
                </c:pt>
                <c:pt idx="8">
                  <c:v>2</c:v>
                </c:pt>
              </c:numCache>
            </c:numRef>
          </c:val>
        </c:ser>
        <c:gapWidth val="150"/>
        <c:overlap val="0"/>
        <c:axId val="35535960"/>
        <c:axId val="48782515"/>
      </c:barChart>
      <c:catAx>
        <c:axId val="35535960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Bewertung (1–9)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782515"/>
        <c:auto val="1"/>
        <c:lblAlgn val="ctr"/>
        <c:lblOffset val="100"/>
        <c:noMultiLvlLbl val="0"/>
      </c:catAx>
      <c:valAx>
        <c:axId val="48782515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Häufigkeit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53596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Häufigkeitsverteilung – Creme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'4 – Normalverteilung'!$E$4</c:f>
              <c:strCache>
                <c:ptCount val="1"/>
                <c:pt idx="0">
                  <c:v>Creme 4</c:v>
                </c:pt>
              </c:strCache>
            </c:strRef>
          </c:tx>
          <c:spPr>
            <a:solidFill>
              <a:srgbClr val="b83232"/>
            </a:solidFill>
            <a:ln w="9360">
              <a:solidFill>
                <a:srgbClr val="f9f9f9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– Normalverteilung'!$A$5:$A$13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strCache>
            </c:strRef>
          </c:cat>
          <c:val>
            <c:numRef>
              <c:f>'4 – Normalverteilung'!$E$5:$E$13</c:f>
              <c:numCache>
                <c:formatCode>General</c:formatCode>
                <c:ptCount val="9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8</c:v>
                </c:pt>
                <c:pt idx="4">
                  <c:v>4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64581098"/>
        <c:axId val="13620378"/>
      </c:barChart>
      <c:catAx>
        <c:axId val="64581098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Bewertung (1–9)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620378"/>
        <c:auto val="1"/>
        <c:lblAlgn val="ctr"/>
        <c:lblOffset val="100"/>
        <c:noMultiLvlLbl val="0"/>
      </c:catAx>
      <c:valAx>
        <c:axId val="13620378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Häufigkeit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581098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0</xdr:rowOff>
    </xdr:from>
    <xdr:to>
      <xdr:col>15</xdr:col>
      <xdr:colOff>452520</xdr:colOff>
      <xdr:row>17</xdr:row>
      <xdr:rowOff>60480</xdr:rowOff>
    </xdr:to>
    <xdr:graphicFrame>
      <xdr:nvGraphicFramePr>
        <xdr:cNvPr id="0" name="Chart 1"/>
        <xdr:cNvGraphicFramePr/>
      </xdr:nvGraphicFramePr>
      <xdr:xfrm>
        <a:off x="8035200" y="933480"/>
        <a:ext cx="5399280" cy="3584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0</xdr:colOff>
      <xdr:row>18</xdr:row>
      <xdr:rowOff>271080</xdr:rowOff>
    </xdr:from>
    <xdr:to>
      <xdr:col>15</xdr:col>
      <xdr:colOff>452520</xdr:colOff>
      <xdr:row>37</xdr:row>
      <xdr:rowOff>50760</xdr:rowOff>
    </xdr:to>
    <xdr:graphicFrame>
      <xdr:nvGraphicFramePr>
        <xdr:cNvPr id="1" name="Chart 2"/>
        <xdr:cNvGraphicFramePr/>
      </xdr:nvGraphicFramePr>
      <xdr:xfrm>
        <a:off x="8035200" y="4909680"/>
        <a:ext cx="5399280" cy="359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6" min="2" style="1" width="12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18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6" hidden="false" customHeight="true" outlineLevel="0" collapsed="false"/>
    <row r="4" customFormat="false" ht="14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customFormat="false" ht="19.5" hidden="false" customHeight="true" outlineLevel="0" collapsed="false">
      <c r="A5" s="5" t="n">
        <v>1</v>
      </c>
      <c r="B5" s="6" t="n">
        <v>7</v>
      </c>
      <c r="C5" s="7" t="n">
        <v>5</v>
      </c>
      <c r="D5" s="8" t="n">
        <v>6</v>
      </c>
      <c r="E5" s="9" t="n">
        <v>4</v>
      </c>
      <c r="F5" s="10" t="n">
        <v>22</v>
      </c>
    </row>
    <row r="6" customFormat="false" ht="19.5" hidden="false" customHeight="true" outlineLevel="0" collapsed="false">
      <c r="A6" s="11" t="n">
        <v>2</v>
      </c>
      <c r="B6" s="12" t="n">
        <v>8</v>
      </c>
      <c r="C6" s="13" t="n">
        <v>6</v>
      </c>
      <c r="D6" s="14" t="n">
        <v>7</v>
      </c>
      <c r="E6" s="15" t="n">
        <v>3</v>
      </c>
      <c r="F6" s="16" t="n">
        <v>24</v>
      </c>
    </row>
    <row r="7" customFormat="false" ht="19.5" hidden="false" customHeight="true" outlineLevel="0" collapsed="false">
      <c r="A7" s="5" t="n">
        <v>3</v>
      </c>
      <c r="B7" s="6" t="n">
        <v>6</v>
      </c>
      <c r="C7" s="7" t="n">
        <v>7</v>
      </c>
      <c r="D7" s="8" t="n">
        <v>5</v>
      </c>
      <c r="E7" s="9" t="n">
        <v>5</v>
      </c>
      <c r="F7" s="10" t="n">
        <v>23</v>
      </c>
    </row>
    <row r="8" customFormat="false" ht="19.5" hidden="false" customHeight="true" outlineLevel="0" collapsed="false">
      <c r="A8" s="11" t="n">
        <v>4</v>
      </c>
      <c r="B8" s="12" t="n">
        <v>9</v>
      </c>
      <c r="C8" s="13" t="n">
        <v>4</v>
      </c>
      <c r="D8" s="14" t="n">
        <v>8</v>
      </c>
      <c r="E8" s="15" t="n">
        <v>2</v>
      </c>
      <c r="F8" s="16" t="n">
        <v>23</v>
      </c>
    </row>
    <row r="9" customFormat="false" ht="19.5" hidden="false" customHeight="true" outlineLevel="0" collapsed="false">
      <c r="A9" s="5" t="n">
        <v>5</v>
      </c>
      <c r="B9" s="6" t="n">
        <v>7</v>
      </c>
      <c r="C9" s="7" t="n">
        <v>6</v>
      </c>
      <c r="D9" s="8" t="n">
        <v>6</v>
      </c>
      <c r="E9" s="9" t="n">
        <v>6</v>
      </c>
      <c r="F9" s="10" t="n">
        <v>25</v>
      </c>
    </row>
    <row r="10" customFormat="false" ht="19.5" hidden="false" customHeight="true" outlineLevel="0" collapsed="false">
      <c r="A10" s="11" t="n">
        <v>6</v>
      </c>
      <c r="B10" s="12" t="n">
        <v>6</v>
      </c>
      <c r="C10" s="13" t="n">
        <v>5</v>
      </c>
      <c r="D10" s="14" t="n">
        <v>7</v>
      </c>
      <c r="E10" s="15" t="n">
        <v>3</v>
      </c>
      <c r="F10" s="16" t="n">
        <v>21</v>
      </c>
    </row>
    <row r="11" customFormat="false" ht="19.5" hidden="false" customHeight="true" outlineLevel="0" collapsed="false">
      <c r="A11" s="5" t="n">
        <v>7</v>
      </c>
      <c r="B11" s="6" t="n">
        <v>7</v>
      </c>
      <c r="C11" s="7" t="n">
        <v>6</v>
      </c>
      <c r="D11" s="8" t="n">
        <v>6</v>
      </c>
      <c r="E11" s="9" t="n">
        <v>4</v>
      </c>
      <c r="F11" s="10" t="n">
        <v>23</v>
      </c>
    </row>
    <row r="12" customFormat="false" ht="19.5" hidden="false" customHeight="true" outlineLevel="0" collapsed="false">
      <c r="A12" s="11" t="n">
        <v>8</v>
      </c>
      <c r="B12" s="12" t="n">
        <v>8</v>
      </c>
      <c r="C12" s="13" t="n">
        <v>5</v>
      </c>
      <c r="D12" s="14" t="n">
        <v>7</v>
      </c>
      <c r="E12" s="15" t="n">
        <v>5</v>
      </c>
      <c r="F12" s="16" t="n">
        <v>25</v>
      </c>
    </row>
    <row r="13" customFormat="false" ht="19.5" hidden="false" customHeight="true" outlineLevel="0" collapsed="false">
      <c r="A13" s="5" t="n">
        <v>9</v>
      </c>
      <c r="B13" s="6" t="n">
        <v>7</v>
      </c>
      <c r="C13" s="7" t="n">
        <v>6</v>
      </c>
      <c r="D13" s="8" t="n">
        <v>6</v>
      </c>
      <c r="E13" s="9" t="n">
        <v>4</v>
      </c>
      <c r="F13" s="10" t="n">
        <v>23</v>
      </c>
    </row>
    <row r="14" customFormat="false" ht="19.5" hidden="false" customHeight="true" outlineLevel="0" collapsed="false">
      <c r="A14" s="11" t="n">
        <v>10</v>
      </c>
      <c r="B14" s="12" t="n">
        <v>7</v>
      </c>
      <c r="C14" s="13" t="n">
        <v>5</v>
      </c>
      <c r="D14" s="14" t="n">
        <v>6</v>
      </c>
      <c r="E14" s="15" t="n">
        <v>3</v>
      </c>
      <c r="F14" s="16" t="n">
        <v>21</v>
      </c>
    </row>
    <row r="15" customFormat="false" ht="19.5" hidden="false" customHeight="true" outlineLevel="0" collapsed="false">
      <c r="A15" s="5" t="n">
        <v>11</v>
      </c>
      <c r="B15" s="6" t="n">
        <v>8</v>
      </c>
      <c r="C15" s="7" t="n">
        <v>7</v>
      </c>
      <c r="D15" s="8" t="n">
        <v>7</v>
      </c>
      <c r="E15" s="9" t="n">
        <v>4</v>
      </c>
      <c r="F15" s="10" t="n">
        <v>26</v>
      </c>
    </row>
    <row r="16" customFormat="false" ht="19.5" hidden="false" customHeight="true" outlineLevel="0" collapsed="false">
      <c r="A16" s="11" t="n">
        <v>12</v>
      </c>
      <c r="B16" s="12" t="n">
        <v>6</v>
      </c>
      <c r="C16" s="13" t="n">
        <v>5</v>
      </c>
      <c r="D16" s="14" t="n">
        <v>6</v>
      </c>
      <c r="E16" s="15" t="n">
        <v>5</v>
      </c>
      <c r="F16" s="16" t="n">
        <v>22</v>
      </c>
    </row>
    <row r="17" customFormat="false" ht="19.5" hidden="false" customHeight="true" outlineLevel="0" collapsed="false">
      <c r="A17" s="5" t="n">
        <v>13</v>
      </c>
      <c r="B17" s="6" t="n">
        <v>7</v>
      </c>
      <c r="C17" s="7" t="n">
        <v>6</v>
      </c>
      <c r="D17" s="8" t="n">
        <v>7</v>
      </c>
      <c r="E17" s="9" t="n">
        <v>3</v>
      </c>
      <c r="F17" s="10" t="n">
        <v>23</v>
      </c>
    </row>
    <row r="18" customFormat="false" ht="19.5" hidden="false" customHeight="true" outlineLevel="0" collapsed="false">
      <c r="A18" s="11" t="n">
        <v>14</v>
      </c>
      <c r="B18" s="12" t="n">
        <v>8</v>
      </c>
      <c r="C18" s="13" t="n">
        <v>5</v>
      </c>
      <c r="D18" s="14" t="n">
        <v>6</v>
      </c>
      <c r="E18" s="15" t="n">
        <v>4</v>
      </c>
      <c r="F18" s="16" t="n">
        <v>23</v>
      </c>
    </row>
    <row r="19" customFormat="false" ht="19.5" hidden="false" customHeight="true" outlineLevel="0" collapsed="false">
      <c r="A19" s="5" t="n">
        <v>15</v>
      </c>
      <c r="B19" s="6" t="n">
        <v>7</v>
      </c>
      <c r="C19" s="7" t="n">
        <v>6</v>
      </c>
      <c r="D19" s="8" t="n">
        <v>7</v>
      </c>
      <c r="E19" s="9" t="n">
        <v>4</v>
      </c>
      <c r="F19" s="10" t="n">
        <v>24</v>
      </c>
    </row>
    <row r="20" customFormat="false" ht="19.5" hidden="false" customHeight="true" outlineLevel="0" collapsed="false">
      <c r="A20" s="11" t="n">
        <v>16</v>
      </c>
      <c r="B20" s="12" t="n">
        <v>9</v>
      </c>
      <c r="C20" s="13" t="n">
        <v>4</v>
      </c>
      <c r="D20" s="14" t="n">
        <v>5</v>
      </c>
      <c r="E20" s="15" t="n">
        <v>3</v>
      </c>
      <c r="F20" s="16" t="n">
        <v>21</v>
      </c>
    </row>
    <row r="21" customFormat="false" ht="19.5" hidden="false" customHeight="true" outlineLevel="0" collapsed="false">
      <c r="A21" s="5" t="n">
        <v>17</v>
      </c>
      <c r="B21" s="6" t="n">
        <v>6</v>
      </c>
      <c r="C21" s="7" t="n">
        <v>5</v>
      </c>
      <c r="D21" s="8" t="n">
        <v>6</v>
      </c>
      <c r="E21" s="9" t="n">
        <v>5</v>
      </c>
      <c r="F21" s="10" t="n">
        <v>22</v>
      </c>
    </row>
    <row r="22" customFormat="false" ht="19.5" hidden="false" customHeight="true" outlineLevel="0" collapsed="false">
      <c r="A22" s="11" t="n">
        <v>18</v>
      </c>
      <c r="B22" s="12" t="n">
        <v>7</v>
      </c>
      <c r="C22" s="13" t="n">
        <v>6</v>
      </c>
      <c r="D22" s="14" t="n">
        <v>7</v>
      </c>
      <c r="E22" s="15" t="n">
        <v>4</v>
      </c>
      <c r="F22" s="16" t="n">
        <v>24</v>
      </c>
    </row>
    <row r="23" customFormat="false" ht="19.5" hidden="false" customHeight="true" outlineLevel="0" collapsed="false">
      <c r="A23" s="5" t="n">
        <v>19</v>
      </c>
      <c r="B23" s="6" t="n">
        <v>8</v>
      </c>
      <c r="C23" s="7" t="n">
        <v>5</v>
      </c>
      <c r="D23" s="8" t="n">
        <v>6</v>
      </c>
      <c r="E23" s="9" t="n">
        <v>3</v>
      </c>
      <c r="F23" s="10" t="n">
        <v>22</v>
      </c>
    </row>
    <row r="24" customFormat="false" ht="19.5" hidden="false" customHeight="true" outlineLevel="0" collapsed="false">
      <c r="A24" s="11" t="n">
        <v>20</v>
      </c>
      <c r="B24" s="12" t="n">
        <v>6</v>
      </c>
      <c r="C24" s="13" t="n">
        <v>5</v>
      </c>
      <c r="D24" s="14" t="n">
        <v>6</v>
      </c>
      <c r="E24" s="15" t="n">
        <v>4</v>
      </c>
      <c r="F24" s="16" t="n">
        <v>21</v>
      </c>
    </row>
    <row r="25" customFormat="false" ht="21.75" hidden="false" customHeight="true" outlineLevel="0" collapsed="false">
      <c r="A25" s="4" t="s">
        <v>8</v>
      </c>
      <c r="B25" s="17" t="n">
        <v>7.2</v>
      </c>
      <c r="C25" s="17" t="n">
        <v>5.5</v>
      </c>
      <c r="D25" s="17" t="n">
        <v>6.3</v>
      </c>
      <c r="E25" s="17" t="n">
        <v>3.9</v>
      </c>
      <c r="F25" s="18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5" min="2" style="1" width="13"/>
    <col collapsed="false" customWidth="true" hidden="false" outlineLevel="0" max="6" min="6" style="1" width="40"/>
  </cols>
  <sheetData>
    <row r="1" customFormat="false" ht="31.5" hidden="false" customHeight="true" outlineLevel="0" collapsed="false">
      <c r="A1" s="19" t="s">
        <v>9</v>
      </c>
      <c r="B1" s="19"/>
      <c r="C1" s="19"/>
      <c r="D1" s="19"/>
      <c r="E1" s="19"/>
      <c r="F1" s="19"/>
    </row>
    <row r="2" customFormat="false" ht="14.25" hidden="false" customHeight="true" outlineLevel="0" collapsed="false">
      <c r="A2" s="20" t="s">
        <v>10</v>
      </c>
      <c r="B2" s="20"/>
      <c r="C2" s="20"/>
      <c r="D2" s="20"/>
      <c r="E2" s="20"/>
      <c r="F2" s="20"/>
    </row>
    <row r="3" customFormat="false" ht="7.5" hidden="false" customHeight="true" outlineLevel="0" collapsed="false"/>
    <row r="4" customFormat="false" ht="14.25" hidden="false" customHeight="true" outlineLevel="0" collapsed="false">
      <c r="A4" s="4" t="s">
        <v>11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12</v>
      </c>
    </row>
    <row r="5" customFormat="false" ht="21.75" hidden="false" customHeight="true" outlineLevel="0" collapsed="false">
      <c r="A5" s="21" t="s">
        <v>13</v>
      </c>
      <c r="B5" s="22" t="n">
        <v>7</v>
      </c>
      <c r="C5" s="22" t="n">
        <v>5</v>
      </c>
      <c r="D5" s="22" t="n">
        <v>6</v>
      </c>
      <c r="E5" s="22" t="n">
        <v>4</v>
      </c>
      <c r="F5" s="23" t="s">
        <v>14</v>
      </c>
    </row>
    <row r="6" customFormat="false" ht="21.75" hidden="false" customHeight="true" outlineLevel="0" collapsed="false">
      <c r="A6" s="24" t="s">
        <v>15</v>
      </c>
      <c r="B6" s="25" t="n">
        <v>7</v>
      </c>
      <c r="C6" s="25" t="n">
        <v>5</v>
      </c>
      <c r="D6" s="25" t="n">
        <v>6</v>
      </c>
      <c r="E6" s="25" t="n">
        <v>4</v>
      </c>
      <c r="F6" s="26" t="s">
        <v>16</v>
      </c>
    </row>
    <row r="7" customFormat="false" ht="21.75" hidden="false" customHeight="true" outlineLevel="0" collapsed="false">
      <c r="A7" s="21" t="s">
        <v>17</v>
      </c>
      <c r="B7" s="27" t="n">
        <v>7.2</v>
      </c>
      <c r="C7" s="27" t="n">
        <v>5.45</v>
      </c>
      <c r="D7" s="27" t="n">
        <v>6.35</v>
      </c>
      <c r="E7" s="27" t="n">
        <v>3.9</v>
      </c>
      <c r="F7" s="23" t="s">
        <v>18</v>
      </c>
    </row>
    <row r="8" customFormat="false" ht="21.75" hidden="false" customHeight="true" outlineLevel="0" collapsed="false">
      <c r="A8" s="24" t="s">
        <v>19</v>
      </c>
      <c r="B8" s="28" t="n">
        <v>20</v>
      </c>
      <c r="C8" s="28" t="n">
        <v>20</v>
      </c>
      <c r="D8" s="28" t="n">
        <v>20</v>
      </c>
      <c r="E8" s="28" t="n">
        <v>20</v>
      </c>
      <c r="F8" s="26" t="s">
        <v>20</v>
      </c>
    </row>
    <row r="9" customFormat="false" ht="21.75" hidden="false" customHeight="true" outlineLevel="0" collapsed="false">
      <c r="A9" s="21" t="s">
        <v>21</v>
      </c>
      <c r="B9" s="29" t="n">
        <v>6</v>
      </c>
      <c r="C9" s="29" t="n">
        <v>4</v>
      </c>
      <c r="D9" s="29" t="n">
        <v>5</v>
      </c>
      <c r="E9" s="29" t="n">
        <v>2</v>
      </c>
      <c r="F9" s="23" t="s">
        <v>22</v>
      </c>
    </row>
    <row r="10" customFormat="false" ht="21.75" hidden="false" customHeight="true" outlineLevel="0" collapsed="false">
      <c r="A10" s="24" t="s">
        <v>23</v>
      </c>
      <c r="B10" s="28" t="n">
        <v>9</v>
      </c>
      <c r="C10" s="28" t="n">
        <v>7</v>
      </c>
      <c r="D10" s="28" t="n">
        <v>8</v>
      </c>
      <c r="E10" s="28" t="n">
        <v>6</v>
      </c>
      <c r="F10" s="26" t="s">
        <v>24</v>
      </c>
    </row>
    <row r="12" customFormat="false" ht="14.25" hidden="false" customHeight="true" outlineLevel="0" collapsed="false">
      <c r="A12" s="30" t="s">
        <v>25</v>
      </c>
      <c r="B12" s="30"/>
      <c r="C12" s="30"/>
      <c r="D12" s="30"/>
      <c r="E12" s="30"/>
      <c r="F12" s="30"/>
    </row>
  </sheetData>
  <mergeCells count="3">
    <mergeCell ref="A1:F1"/>
    <mergeCell ref="A2:F2"/>
    <mergeCell ref="A12:F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3"/>
    <col collapsed="false" customWidth="true" hidden="false" outlineLevel="0" max="6" min="6" style="1" width="40"/>
  </cols>
  <sheetData>
    <row r="1" customFormat="false" ht="31.5" hidden="false" customHeight="true" outlineLevel="0" collapsed="false">
      <c r="A1" s="19" t="s">
        <v>26</v>
      </c>
      <c r="B1" s="19"/>
      <c r="C1" s="19"/>
      <c r="D1" s="19"/>
      <c r="E1" s="19"/>
      <c r="F1" s="19"/>
    </row>
    <row r="3" customFormat="false" ht="14.25" hidden="false" customHeight="true" outlineLevel="0" collapsed="false">
      <c r="A3" s="4" t="s">
        <v>11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27</v>
      </c>
    </row>
    <row r="4" customFormat="false" ht="21.75" hidden="false" customHeight="true" outlineLevel="0" collapsed="false">
      <c r="A4" s="24" t="s">
        <v>28</v>
      </c>
      <c r="B4" s="31" t="n">
        <v>0.951453182187509</v>
      </c>
      <c r="C4" s="31" t="n">
        <v>0.825577947481897</v>
      </c>
      <c r="D4" s="31" t="n">
        <v>0.745159820370595</v>
      </c>
      <c r="E4" s="31" t="n">
        <v>0.967906041546987</v>
      </c>
      <c r="F4" s="32"/>
    </row>
    <row r="5" customFormat="false" ht="21.75" hidden="false" customHeight="true" outlineLevel="0" collapsed="false">
      <c r="A5" s="21" t="s">
        <v>29</v>
      </c>
      <c r="B5" s="33" t="n">
        <v>0.905263157894737</v>
      </c>
      <c r="C5" s="33" t="n">
        <v>0.681578947368421</v>
      </c>
      <c r="D5" s="33" t="n">
        <v>0.555263157894737</v>
      </c>
      <c r="E5" s="33" t="n">
        <v>0.936842105263158</v>
      </c>
      <c r="F5" s="34" t="s">
        <v>30</v>
      </c>
    </row>
    <row r="6" customFormat="false" ht="21.75" hidden="false" customHeight="true" outlineLevel="0" collapsed="false">
      <c r="A6" s="24" t="s">
        <v>21</v>
      </c>
      <c r="B6" s="35" t="n">
        <v>6</v>
      </c>
      <c r="C6" s="35" t="n">
        <v>4</v>
      </c>
      <c r="D6" s="35" t="n">
        <v>5</v>
      </c>
      <c r="E6" s="35" t="n">
        <v>2</v>
      </c>
      <c r="F6" s="32" t="s">
        <v>31</v>
      </c>
    </row>
    <row r="7" customFormat="false" ht="21.75" hidden="false" customHeight="true" outlineLevel="0" collapsed="false">
      <c r="A7" s="21" t="s">
        <v>32</v>
      </c>
      <c r="B7" s="36" t="n">
        <v>6.25</v>
      </c>
      <c r="C7" s="36" t="n">
        <v>5</v>
      </c>
      <c r="D7" s="36" t="n">
        <v>6</v>
      </c>
      <c r="E7" s="36" t="n">
        <v>3</v>
      </c>
      <c r="F7" s="34"/>
    </row>
    <row r="8" customFormat="false" ht="21.75" hidden="false" customHeight="true" outlineLevel="0" collapsed="false">
      <c r="A8" s="24" t="s">
        <v>33</v>
      </c>
      <c r="B8" s="37" t="n">
        <v>7</v>
      </c>
      <c r="C8" s="37" t="n">
        <v>5</v>
      </c>
      <c r="D8" s="37" t="n">
        <v>6</v>
      </c>
      <c r="E8" s="37" t="n">
        <v>4</v>
      </c>
      <c r="F8" s="32" t="s">
        <v>34</v>
      </c>
    </row>
    <row r="9" customFormat="false" ht="21.75" hidden="false" customHeight="true" outlineLevel="0" collapsed="false">
      <c r="A9" s="21" t="s">
        <v>35</v>
      </c>
      <c r="B9" s="36" t="n">
        <v>8</v>
      </c>
      <c r="C9" s="36" t="n">
        <v>6</v>
      </c>
      <c r="D9" s="36" t="n">
        <v>7</v>
      </c>
      <c r="E9" s="36" t="n">
        <v>4.75</v>
      </c>
      <c r="F9" s="34"/>
    </row>
    <row r="10" customFormat="false" ht="21.75" hidden="false" customHeight="true" outlineLevel="0" collapsed="false">
      <c r="A10" s="24" t="s">
        <v>23</v>
      </c>
      <c r="B10" s="35" t="n">
        <v>9</v>
      </c>
      <c r="C10" s="35" t="n">
        <v>7</v>
      </c>
      <c r="D10" s="35" t="n">
        <v>8</v>
      </c>
      <c r="E10" s="35" t="n">
        <v>6</v>
      </c>
      <c r="F10" s="32" t="s">
        <v>36</v>
      </c>
    </row>
    <row r="11" customFormat="false" ht="21.75" hidden="false" customHeight="true" outlineLevel="0" collapsed="false">
      <c r="A11" s="21" t="s">
        <v>37</v>
      </c>
      <c r="B11" s="36" t="n">
        <v>1.75</v>
      </c>
      <c r="C11" s="36" t="n">
        <v>1</v>
      </c>
      <c r="D11" s="36" t="n">
        <v>1</v>
      </c>
      <c r="E11" s="36" t="n">
        <v>1.75</v>
      </c>
      <c r="F11" s="34"/>
    </row>
    <row r="13" customFormat="false" ht="14.25" hidden="false" customHeight="true" outlineLevel="0" collapsed="false">
      <c r="A13" s="30" t="s">
        <v>38</v>
      </c>
      <c r="B13" s="30"/>
      <c r="C13" s="30"/>
      <c r="D13" s="30"/>
      <c r="E13" s="30"/>
      <c r="F13" s="30"/>
    </row>
  </sheetData>
  <mergeCells count="2">
    <mergeCell ref="A1:F1"/>
    <mergeCell ref="A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38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8" min="5" style="1" width="4"/>
  </cols>
  <sheetData>
    <row r="1" customFormat="false" ht="31.5" hidden="false" customHeight="true" outlineLevel="0" collapsed="false">
      <c r="A1" s="19" t="s">
        <v>39</v>
      </c>
      <c r="B1" s="19"/>
      <c r="C1" s="19"/>
      <c r="D1" s="19"/>
      <c r="E1" s="19"/>
      <c r="F1" s="19"/>
      <c r="G1" s="19"/>
      <c r="H1" s="19"/>
    </row>
    <row r="2" customFormat="false" ht="27.75" hidden="false" customHeight="true" outlineLevel="0" collapsed="false">
      <c r="A2" s="38" t="s">
        <v>40</v>
      </c>
      <c r="B2" s="38"/>
      <c r="C2" s="38"/>
      <c r="D2" s="38"/>
      <c r="E2" s="38"/>
      <c r="F2" s="38"/>
      <c r="G2" s="38"/>
      <c r="H2" s="38"/>
    </row>
    <row r="4" customFormat="false" ht="41.25" hidden="false" customHeight="true" outlineLevel="0" collapsed="false">
      <c r="A4" s="4" t="s">
        <v>41</v>
      </c>
      <c r="B4" s="4" t="s">
        <v>3</v>
      </c>
      <c r="C4" s="4" t="s">
        <v>4</v>
      </c>
      <c r="D4" s="4" t="s">
        <v>5</v>
      </c>
      <c r="E4" s="4" t="s">
        <v>6</v>
      </c>
      <c r="F4" s="4"/>
      <c r="G4" s="4"/>
      <c r="H4" s="4"/>
    </row>
    <row r="5" customFormat="false" ht="19.5" hidden="false" customHeight="true" outlineLevel="0" collapsed="false">
      <c r="A5" s="39" t="n">
        <v>1</v>
      </c>
      <c r="B5" s="6" t="n">
        <v>0</v>
      </c>
      <c r="C5" s="7" t="n">
        <v>0</v>
      </c>
      <c r="D5" s="8" t="n">
        <v>0</v>
      </c>
      <c r="E5" s="9" t="n">
        <v>0</v>
      </c>
    </row>
    <row r="6" customFormat="false" ht="19.5" hidden="false" customHeight="true" outlineLevel="0" collapsed="false">
      <c r="A6" s="40" t="n">
        <v>2</v>
      </c>
      <c r="B6" s="12" t="n">
        <v>0</v>
      </c>
      <c r="C6" s="13" t="n">
        <v>0</v>
      </c>
      <c r="D6" s="14" t="n">
        <v>0</v>
      </c>
      <c r="E6" s="15" t="n">
        <v>1</v>
      </c>
    </row>
    <row r="7" customFormat="false" ht="19.5" hidden="false" customHeight="true" outlineLevel="0" collapsed="false">
      <c r="A7" s="39" t="n">
        <v>3</v>
      </c>
      <c r="B7" s="6" t="n">
        <v>0</v>
      </c>
      <c r="C7" s="7" t="n">
        <v>0</v>
      </c>
      <c r="D7" s="8" t="n">
        <v>0</v>
      </c>
      <c r="E7" s="9" t="n">
        <v>6</v>
      </c>
    </row>
    <row r="8" customFormat="false" ht="19.5" hidden="false" customHeight="true" outlineLevel="0" collapsed="false">
      <c r="A8" s="40" t="n">
        <v>4</v>
      </c>
      <c r="B8" s="12" t="n">
        <v>0</v>
      </c>
      <c r="C8" s="13" t="n">
        <v>2</v>
      </c>
      <c r="D8" s="14" t="n">
        <v>0</v>
      </c>
      <c r="E8" s="15" t="n">
        <v>8</v>
      </c>
    </row>
    <row r="9" customFormat="false" ht="19.5" hidden="false" customHeight="true" outlineLevel="0" collapsed="false">
      <c r="A9" s="39" t="n">
        <v>5</v>
      </c>
      <c r="B9" s="6" t="n">
        <v>0</v>
      </c>
      <c r="C9" s="7" t="n">
        <v>9</v>
      </c>
      <c r="D9" s="8" t="n">
        <v>2</v>
      </c>
      <c r="E9" s="9" t="n">
        <v>4</v>
      </c>
    </row>
    <row r="10" customFormat="false" ht="19.5" hidden="false" customHeight="true" outlineLevel="0" collapsed="false">
      <c r="A10" s="40" t="n">
        <v>6</v>
      </c>
      <c r="B10" s="12" t="n">
        <v>5</v>
      </c>
      <c r="C10" s="13" t="n">
        <v>7</v>
      </c>
      <c r="D10" s="14" t="n">
        <v>10</v>
      </c>
      <c r="E10" s="15" t="n">
        <v>1</v>
      </c>
    </row>
    <row r="11" customFormat="false" ht="19.5" hidden="false" customHeight="true" outlineLevel="0" collapsed="false">
      <c r="A11" s="39" t="n">
        <v>7</v>
      </c>
      <c r="B11" s="6" t="n">
        <v>8</v>
      </c>
      <c r="C11" s="7" t="n">
        <v>2</v>
      </c>
      <c r="D11" s="8" t="n">
        <v>7</v>
      </c>
      <c r="E11" s="9" t="n">
        <v>0</v>
      </c>
    </row>
    <row r="12" customFormat="false" ht="19.5" hidden="false" customHeight="true" outlineLevel="0" collapsed="false">
      <c r="A12" s="40" t="n">
        <v>8</v>
      </c>
      <c r="B12" s="12" t="n">
        <v>5</v>
      </c>
      <c r="C12" s="13" t="n">
        <v>0</v>
      </c>
      <c r="D12" s="14" t="n">
        <v>1</v>
      </c>
      <c r="E12" s="15" t="n">
        <v>0</v>
      </c>
    </row>
    <row r="13" customFormat="false" ht="19.5" hidden="false" customHeight="true" outlineLevel="0" collapsed="false">
      <c r="A13" s="39" t="n">
        <v>9</v>
      </c>
      <c r="B13" s="6" t="n">
        <v>2</v>
      </c>
      <c r="C13" s="7" t="n">
        <v>0</v>
      </c>
      <c r="D13" s="8" t="n">
        <v>0</v>
      </c>
      <c r="E13" s="9" t="n">
        <v>0</v>
      </c>
    </row>
    <row r="14" customFormat="false" ht="21.75" hidden="false" customHeight="true" outlineLevel="0" collapsed="false">
      <c r="A14" s="4" t="s">
        <v>42</v>
      </c>
      <c r="B14" s="41" t="n">
        <v>20</v>
      </c>
      <c r="C14" s="41" t="n">
        <v>20</v>
      </c>
      <c r="D14" s="41" t="n">
        <v>20</v>
      </c>
      <c r="E14" s="41" t="n">
        <v>20</v>
      </c>
    </row>
    <row r="16" customFormat="false" ht="9.75" hidden="false" customHeight="true" outlineLevel="0" collapsed="false"/>
    <row r="17" customFormat="false" ht="15" hidden="false" customHeight="true" outlineLevel="0" collapsed="false">
      <c r="A17" s="42" t="s">
        <v>43</v>
      </c>
      <c r="B17" s="42"/>
      <c r="C17" s="42"/>
      <c r="D17" s="42"/>
      <c r="E17" s="42"/>
    </row>
    <row r="18" customFormat="false" ht="14.25" hidden="false" customHeight="true" outlineLevel="0" collapsed="false">
      <c r="A18" s="4" t="s">
        <v>44</v>
      </c>
      <c r="B18" s="4" t="s">
        <v>45</v>
      </c>
      <c r="C18" s="4" t="s">
        <v>46</v>
      </c>
      <c r="D18" s="4" t="s">
        <v>47</v>
      </c>
    </row>
    <row r="19" customFormat="false" ht="21.75" hidden="false" customHeight="true" outlineLevel="0" collapsed="false">
      <c r="A19" s="43" t="s">
        <v>3</v>
      </c>
      <c r="B19" s="44" t="s">
        <v>48</v>
      </c>
      <c r="C19" s="45" t="s">
        <v>49</v>
      </c>
      <c r="D19" s="45" t="s">
        <v>50</v>
      </c>
    </row>
    <row r="20" customFormat="false" ht="21.75" hidden="false" customHeight="true" outlineLevel="0" collapsed="false">
      <c r="A20" s="43" t="s">
        <v>4</v>
      </c>
      <c r="B20" s="44" t="s">
        <v>51</v>
      </c>
      <c r="C20" s="45" t="s">
        <v>49</v>
      </c>
      <c r="D20" s="45" t="s">
        <v>50</v>
      </c>
    </row>
    <row r="21" customFormat="false" ht="21.75" hidden="false" customHeight="true" outlineLevel="0" collapsed="false">
      <c r="A21" s="43" t="s">
        <v>5</v>
      </c>
      <c r="B21" s="44" t="s">
        <v>52</v>
      </c>
      <c r="C21" s="45" t="s">
        <v>49</v>
      </c>
      <c r="D21" s="45" t="s">
        <v>50</v>
      </c>
    </row>
    <row r="22" customFormat="false" ht="21.75" hidden="false" customHeight="true" outlineLevel="0" collapsed="false">
      <c r="A22" s="46" t="s">
        <v>6</v>
      </c>
      <c r="B22" s="47" t="s">
        <v>53</v>
      </c>
      <c r="C22" s="48" t="s">
        <v>54</v>
      </c>
      <c r="D22" s="48" t="s">
        <v>55</v>
      </c>
    </row>
  </sheetData>
  <mergeCells count="3">
    <mergeCell ref="A1:H1"/>
    <mergeCell ref="A2:H2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3" min="2" style="1" width="14"/>
    <col collapsed="false" customWidth="true" hidden="false" outlineLevel="0" max="5" min="4" style="1" width="4"/>
    <col collapsed="false" customWidth="true" hidden="false" outlineLevel="0" max="6" min="6" style="1" width="42"/>
    <col collapsed="false" customWidth="true" hidden="false" outlineLevel="0" max="7" min="7" style="1" width="4"/>
  </cols>
  <sheetData>
    <row r="1" customFormat="false" ht="31.5" hidden="false" customHeight="true" outlineLevel="0" collapsed="false">
      <c r="A1" s="19" t="s">
        <v>56</v>
      </c>
      <c r="B1" s="19"/>
      <c r="C1" s="19"/>
      <c r="D1" s="19"/>
      <c r="E1" s="19"/>
      <c r="F1" s="19"/>
      <c r="G1" s="19"/>
    </row>
    <row r="3" customFormat="false" ht="15" hidden="false" customHeight="true" outlineLevel="0" collapsed="false">
      <c r="A3" s="42" t="s">
        <v>57</v>
      </c>
      <c r="B3" s="42"/>
      <c r="C3" s="42"/>
      <c r="D3" s="42"/>
      <c r="E3" s="42"/>
      <c r="F3" s="42"/>
      <c r="G3" s="42"/>
    </row>
    <row r="4" customFormat="false" ht="14.25" hidden="false" customHeight="true" outlineLevel="0" collapsed="false">
      <c r="A4" s="4" t="s">
        <v>58</v>
      </c>
      <c r="B4" s="4" t="s">
        <v>3</v>
      </c>
      <c r="C4" s="4" t="s">
        <v>6</v>
      </c>
      <c r="D4" s="4"/>
      <c r="E4" s="4"/>
      <c r="F4" s="4" t="s">
        <v>59</v>
      </c>
      <c r="G4" s="4"/>
    </row>
    <row r="5" customFormat="false" ht="21.75" hidden="false" customHeight="true" outlineLevel="0" collapsed="false">
      <c r="A5" s="21" t="s">
        <v>60</v>
      </c>
      <c r="B5" s="27" t="n">
        <v>7.2</v>
      </c>
      <c r="C5" s="27" t="n">
        <v>3.9</v>
      </c>
      <c r="F5" s="34" t="s">
        <v>61</v>
      </c>
    </row>
    <row r="6" customFormat="false" ht="21.75" hidden="false" customHeight="true" outlineLevel="0" collapsed="false">
      <c r="A6" s="24" t="s">
        <v>28</v>
      </c>
      <c r="B6" s="49" t="n">
        <v>0.951453182187509</v>
      </c>
      <c r="C6" s="49" t="n">
        <v>0.967906041546987</v>
      </c>
      <c r="F6" s="32" t="s">
        <v>62</v>
      </c>
    </row>
    <row r="7" customFormat="false" ht="21.75" hidden="false" customHeight="true" outlineLevel="0" collapsed="false">
      <c r="A7" s="21" t="s">
        <v>63</v>
      </c>
      <c r="B7" s="29" t="n">
        <v>20</v>
      </c>
      <c r="C7" s="29" t="n">
        <v>20</v>
      </c>
      <c r="F7" s="34" t="s">
        <v>64</v>
      </c>
    </row>
    <row r="8" customFormat="false" ht="21.75" hidden="false" customHeight="true" outlineLevel="0" collapsed="false">
      <c r="A8" s="24" t="s">
        <v>65</v>
      </c>
      <c r="B8" s="50" t="n">
        <v>0.003</v>
      </c>
      <c r="C8" s="51" t="s">
        <v>66</v>
      </c>
      <c r="F8" s="32"/>
    </row>
    <row r="9" customFormat="false" ht="21.75" hidden="false" customHeight="true" outlineLevel="0" collapsed="false">
      <c r="A9" s="21" t="s">
        <v>67</v>
      </c>
      <c r="B9" s="52" t="s">
        <v>68</v>
      </c>
      <c r="C9" s="53" t="s">
        <v>66</v>
      </c>
      <c r="F9" s="34"/>
    </row>
    <row r="11" customFormat="false" ht="9.75" hidden="false" customHeight="true" outlineLevel="0" collapsed="false"/>
    <row r="12" customFormat="false" ht="15" hidden="false" customHeight="true" outlineLevel="0" collapsed="false">
      <c r="A12" s="54" t="s">
        <v>69</v>
      </c>
      <c r="B12" s="54"/>
      <c r="C12" s="54"/>
      <c r="D12" s="54"/>
      <c r="E12" s="54"/>
      <c r="F12" s="54"/>
      <c r="G12" s="54"/>
    </row>
    <row r="13" customFormat="false" ht="14.25" hidden="false" customHeight="true" outlineLevel="0" collapsed="false">
      <c r="A13" s="4" t="s">
        <v>58</v>
      </c>
      <c r="B13" s="4" t="s">
        <v>3</v>
      </c>
      <c r="C13" s="4" t="s">
        <v>6</v>
      </c>
      <c r="D13" s="4"/>
      <c r="E13" s="4"/>
      <c r="F13" s="4" t="s">
        <v>12</v>
      </c>
      <c r="G13" s="4"/>
    </row>
    <row r="14" customFormat="false" ht="21.75" hidden="false" customHeight="true" outlineLevel="0" collapsed="false">
      <c r="A14" s="24" t="s">
        <v>70</v>
      </c>
      <c r="B14" s="37" t="n">
        <v>7</v>
      </c>
      <c r="C14" s="37" t="n">
        <v>4</v>
      </c>
      <c r="F14" s="26" t="s">
        <v>71</v>
      </c>
    </row>
    <row r="15" customFormat="false" ht="21.75" hidden="false" customHeight="true" outlineLevel="0" collapsed="false">
      <c r="A15" s="21" t="s">
        <v>19</v>
      </c>
      <c r="B15" s="29" t="n">
        <v>20</v>
      </c>
      <c r="C15" s="29" t="n">
        <v>20</v>
      </c>
      <c r="F15" s="23" t="s">
        <v>72</v>
      </c>
    </row>
    <row r="16" customFormat="false" ht="21.75" hidden="false" customHeight="true" outlineLevel="0" collapsed="false">
      <c r="A16" s="24" t="s">
        <v>73</v>
      </c>
      <c r="B16" s="50" t="n">
        <v>0.003</v>
      </c>
      <c r="C16" s="51" t="s">
        <v>66</v>
      </c>
      <c r="F16" s="26" t="s">
        <v>74</v>
      </c>
    </row>
    <row r="17" customFormat="false" ht="21.75" hidden="false" customHeight="true" outlineLevel="0" collapsed="false">
      <c r="A17" s="21" t="s">
        <v>75</v>
      </c>
      <c r="B17" s="52" t="s">
        <v>76</v>
      </c>
      <c r="C17" s="53" t="s">
        <v>66</v>
      </c>
      <c r="F17" s="23" t="s">
        <v>77</v>
      </c>
    </row>
    <row r="19" customFormat="false" ht="27.75" hidden="false" customHeight="true" outlineLevel="0" collapsed="false">
      <c r="A19" s="55" t="s">
        <v>78</v>
      </c>
      <c r="B19" s="55"/>
      <c r="C19" s="55"/>
      <c r="D19" s="55"/>
      <c r="E19" s="55"/>
      <c r="F19" s="55"/>
      <c r="G19" s="55"/>
    </row>
  </sheetData>
  <mergeCells count="4">
    <mergeCell ref="A1:G1"/>
    <mergeCell ref="A3:G3"/>
    <mergeCell ref="A12:G12"/>
    <mergeCell ref="A19:G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5" min="2" style="1" width="14"/>
    <col collapsed="false" customWidth="true" hidden="false" outlineLevel="0" max="6" min="6" style="1" width="44"/>
  </cols>
  <sheetData>
    <row r="1" customFormat="false" ht="31.5" hidden="false" customHeight="true" outlineLevel="0" collapsed="false">
      <c r="A1" s="19" t="s">
        <v>79</v>
      </c>
      <c r="B1" s="19"/>
      <c r="C1" s="19"/>
      <c r="D1" s="19"/>
      <c r="E1" s="19"/>
      <c r="F1" s="19"/>
    </row>
    <row r="2" customFormat="false" ht="24" hidden="false" customHeight="true" outlineLevel="0" collapsed="false">
      <c r="A2" s="56" t="s">
        <v>80</v>
      </c>
      <c r="B2" s="56"/>
      <c r="C2" s="56"/>
      <c r="D2" s="56"/>
      <c r="E2" s="56"/>
      <c r="F2" s="56"/>
    </row>
    <row r="3" customFormat="false" ht="7.5" hidden="false" customHeight="true" outlineLevel="0" collapsed="false"/>
    <row r="4" customFormat="false" ht="14.25" hidden="false" customHeight="true" outlineLevel="0" collapsed="false">
      <c r="A4" s="4" t="s">
        <v>11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59</v>
      </c>
    </row>
    <row r="5" customFormat="false" ht="21.75" hidden="false" customHeight="true" outlineLevel="0" collapsed="false">
      <c r="A5" s="21" t="s">
        <v>60</v>
      </c>
      <c r="B5" s="27" t="n">
        <v>7.2</v>
      </c>
      <c r="C5" s="27" t="n">
        <v>5.45</v>
      </c>
      <c r="D5" s="27" t="n">
        <v>6.35</v>
      </c>
      <c r="E5" s="27" t="n">
        <v>3.9</v>
      </c>
      <c r="F5" s="34" t="s">
        <v>61</v>
      </c>
    </row>
    <row r="6" customFormat="false" ht="21.75" hidden="false" customHeight="true" outlineLevel="0" collapsed="false">
      <c r="A6" s="24" t="s">
        <v>28</v>
      </c>
      <c r="B6" s="49" t="n">
        <v>0.951453182187509</v>
      </c>
      <c r="C6" s="49" t="n">
        <v>0.825577947481897</v>
      </c>
      <c r="D6" s="49" t="n">
        <v>0.745159820370595</v>
      </c>
      <c r="E6" s="49" t="n">
        <v>0.967906041546987</v>
      </c>
      <c r="F6" s="32" t="s">
        <v>62</v>
      </c>
    </row>
    <row r="7" customFormat="false" ht="21.75" hidden="false" customHeight="true" outlineLevel="0" collapsed="false">
      <c r="A7" s="21" t="s">
        <v>63</v>
      </c>
      <c r="B7" s="29" t="n">
        <v>20</v>
      </c>
      <c r="C7" s="29" t="n">
        <v>20</v>
      </c>
      <c r="D7" s="29" t="n">
        <v>20</v>
      </c>
      <c r="E7" s="29" t="n">
        <v>20</v>
      </c>
      <c r="F7" s="34" t="s">
        <v>64</v>
      </c>
    </row>
    <row r="8" customFormat="false" ht="21.75" hidden="false" customHeight="true" outlineLevel="0" collapsed="false">
      <c r="A8" s="24" t="s">
        <v>81</v>
      </c>
      <c r="B8" s="57" t="n">
        <v>0.212751399277976</v>
      </c>
      <c r="C8" s="57" t="n">
        <v>0.184604841129427</v>
      </c>
      <c r="D8" s="57" t="n">
        <v>0.166622801245018</v>
      </c>
      <c r="E8" s="57" t="n">
        <v>0.21643037047318</v>
      </c>
      <c r="F8" s="32" t="s">
        <v>82</v>
      </c>
    </row>
    <row r="9" customFormat="false" ht="21.75" hidden="false" customHeight="true" outlineLevel="0" collapsed="false">
      <c r="A9" s="21" t="s">
        <v>83</v>
      </c>
      <c r="B9" s="58" t="n">
        <v>0.416992742584833</v>
      </c>
      <c r="C9" s="58" t="n">
        <v>0.361825488613677</v>
      </c>
      <c r="D9" s="58" t="n">
        <v>0.326580690440236</v>
      </c>
      <c r="E9" s="58" t="n">
        <v>0.424203526127433</v>
      </c>
      <c r="F9" s="34"/>
    </row>
    <row r="10" customFormat="false" ht="21.75" hidden="false" customHeight="true" outlineLevel="0" collapsed="false">
      <c r="A10" s="24" t="s">
        <v>84</v>
      </c>
      <c r="B10" s="31" t="n">
        <v>6.78300725741517</v>
      </c>
      <c r="C10" s="31" t="n">
        <v>5.08817451138632</v>
      </c>
      <c r="D10" s="31" t="n">
        <v>6.02341930955976</v>
      </c>
      <c r="E10" s="31" t="n">
        <v>3.47579647387257</v>
      </c>
      <c r="F10" s="32"/>
    </row>
    <row r="11" customFormat="false" ht="21.75" hidden="false" customHeight="true" outlineLevel="0" collapsed="false">
      <c r="A11" s="21" t="s">
        <v>85</v>
      </c>
      <c r="B11" s="59" t="n">
        <v>7.61699274258483</v>
      </c>
      <c r="C11" s="59" t="n">
        <v>5.81182548861368</v>
      </c>
      <c r="D11" s="59" t="n">
        <v>6.67658069044024</v>
      </c>
      <c r="E11" s="59" t="n">
        <v>4.32420352612743</v>
      </c>
      <c r="F11" s="34" t="s">
        <v>86</v>
      </c>
    </row>
    <row r="12" customFormat="false" ht="21.75" hidden="false" customHeight="true" outlineLevel="0" collapsed="false">
      <c r="A12" s="24" t="s">
        <v>87</v>
      </c>
      <c r="B12" s="49" t="n">
        <v>0.833985485169666</v>
      </c>
      <c r="C12" s="49" t="n">
        <v>0.723650977227354</v>
      </c>
      <c r="D12" s="49" t="n">
        <v>0.653161380880471</v>
      </c>
      <c r="E12" s="49" t="n">
        <v>0.848407052254865</v>
      </c>
      <c r="F12" s="32"/>
    </row>
    <row r="13" customFormat="false" ht="9.75" hidden="false" customHeight="true" outlineLevel="0" collapsed="false"/>
    <row r="14" customFormat="false" ht="31.5" hidden="false" customHeight="true" outlineLevel="0" collapsed="false">
      <c r="A14" s="55" t="s">
        <v>88</v>
      </c>
      <c r="B14" s="55"/>
      <c r="C14" s="55"/>
      <c r="D14" s="55"/>
      <c r="E14" s="55"/>
      <c r="F14" s="55"/>
    </row>
  </sheetData>
  <mergeCells count="3">
    <mergeCell ref="A1:F1"/>
    <mergeCell ref="A2:F2"/>
    <mergeCell ref="A1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8671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5" min="2" style="1" width="18"/>
  </cols>
  <sheetData>
    <row r="1" customFormat="false" ht="31.5" hidden="false" customHeight="true" outlineLevel="0" collapsed="false">
      <c r="A1" s="19" t="s">
        <v>89</v>
      </c>
      <c r="B1" s="19"/>
      <c r="C1" s="19"/>
      <c r="D1" s="19"/>
      <c r="E1" s="19"/>
    </row>
    <row r="2" customFormat="false" ht="14.25" hidden="false" customHeight="true" outlineLevel="0" collapsed="false">
      <c r="A2" s="3" t="s">
        <v>90</v>
      </c>
      <c r="B2" s="3"/>
      <c r="C2" s="3"/>
      <c r="D2" s="3"/>
      <c r="E2" s="3"/>
    </row>
    <row r="4" customFormat="false" ht="27.75" hidden="false" customHeight="true" outlineLevel="0" collapsed="false">
      <c r="A4" s="4" t="s">
        <v>91</v>
      </c>
      <c r="B4" s="4" t="s">
        <v>92</v>
      </c>
      <c r="C4" s="4" t="s">
        <v>93</v>
      </c>
      <c r="D4" s="4" t="s">
        <v>94</v>
      </c>
      <c r="E4" s="4" t="s">
        <v>95</v>
      </c>
    </row>
    <row r="5" customFormat="false" ht="18" hidden="false" customHeight="true" outlineLevel="0" collapsed="false">
      <c r="A5" s="5" t="n">
        <v>1</v>
      </c>
      <c r="B5" s="60"/>
      <c r="C5" s="60"/>
      <c r="D5" s="60"/>
      <c r="E5" s="60"/>
    </row>
    <row r="6" customFormat="false" ht="18" hidden="false" customHeight="true" outlineLevel="0" collapsed="false">
      <c r="A6" s="5" t="n">
        <v>2</v>
      </c>
      <c r="B6" s="61"/>
      <c r="C6" s="61"/>
      <c r="D6" s="61"/>
      <c r="E6" s="61"/>
    </row>
    <row r="7" customFormat="false" ht="18" hidden="false" customHeight="true" outlineLevel="0" collapsed="false">
      <c r="A7" s="5" t="n">
        <v>3</v>
      </c>
      <c r="B7" s="60"/>
      <c r="C7" s="60"/>
      <c r="D7" s="60"/>
      <c r="E7" s="60"/>
    </row>
    <row r="8" customFormat="false" ht="18" hidden="false" customHeight="true" outlineLevel="0" collapsed="false">
      <c r="A8" s="5" t="n">
        <v>4</v>
      </c>
      <c r="B8" s="61"/>
      <c r="C8" s="61"/>
      <c r="D8" s="61"/>
      <c r="E8" s="61"/>
    </row>
    <row r="9" customFormat="false" ht="18" hidden="false" customHeight="true" outlineLevel="0" collapsed="false">
      <c r="A9" s="5" t="n">
        <v>5</v>
      </c>
      <c r="B9" s="60"/>
      <c r="C9" s="60"/>
      <c r="D9" s="60"/>
      <c r="E9" s="60"/>
    </row>
    <row r="10" customFormat="false" ht="18" hidden="false" customHeight="true" outlineLevel="0" collapsed="false">
      <c r="A10" s="5" t="n">
        <v>6</v>
      </c>
      <c r="B10" s="61"/>
      <c r="C10" s="61"/>
      <c r="D10" s="61"/>
      <c r="E10" s="61"/>
    </row>
    <row r="11" customFormat="false" ht="18" hidden="false" customHeight="true" outlineLevel="0" collapsed="false">
      <c r="A11" s="5" t="n">
        <v>7</v>
      </c>
      <c r="B11" s="60"/>
      <c r="C11" s="60"/>
      <c r="D11" s="60"/>
      <c r="E11" s="60"/>
    </row>
    <row r="12" customFormat="false" ht="18" hidden="false" customHeight="true" outlineLevel="0" collapsed="false">
      <c r="A12" s="5" t="n">
        <v>8</v>
      </c>
      <c r="B12" s="61"/>
      <c r="C12" s="61"/>
      <c r="D12" s="61"/>
      <c r="E12" s="61"/>
    </row>
    <row r="13" customFormat="false" ht="18" hidden="false" customHeight="true" outlineLevel="0" collapsed="false">
      <c r="A13" s="5" t="n">
        <v>9</v>
      </c>
      <c r="B13" s="60"/>
      <c r="C13" s="60"/>
      <c r="D13" s="60"/>
      <c r="E13" s="60"/>
    </row>
    <row r="14" customFormat="false" ht="18" hidden="false" customHeight="true" outlineLevel="0" collapsed="false">
      <c r="A14" s="5" t="n">
        <v>10</v>
      </c>
      <c r="B14" s="61"/>
      <c r="C14" s="61"/>
      <c r="D14" s="61"/>
      <c r="E14" s="61"/>
    </row>
    <row r="15" customFormat="false" ht="18" hidden="false" customHeight="true" outlineLevel="0" collapsed="false">
      <c r="A15" s="5" t="n">
        <v>11</v>
      </c>
      <c r="B15" s="60"/>
      <c r="C15" s="60"/>
      <c r="D15" s="60"/>
      <c r="E15" s="60"/>
    </row>
    <row r="16" customFormat="false" ht="18" hidden="false" customHeight="true" outlineLevel="0" collapsed="false">
      <c r="A16" s="5" t="n">
        <v>12</v>
      </c>
      <c r="B16" s="61"/>
      <c r="C16" s="61"/>
      <c r="D16" s="61"/>
      <c r="E16" s="61"/>
    </row>
    <row r="17" customFormat="false" ht="18" hidden="false" customHeight="true" outlineLevel="0" collapsed="false">
      <c r="A17" s="5" t="n">
        <v>13</v>
      </c>
      <c r="B17" s="60"/>
      <c r="C17" s="60"/>
      <c r="D17" s="60"/>
      <c r="E17" s="60"/>
    </row>
    <row r="18" customFormat="false" ht="18" hidden="false" customHeight="true" outlineLevel="0" collapsed="false">
      <c r="A18" s="5" t="n">
        <v>14</v>
      </c>
      <c r="B18" s="61"/>
      <c r="C18" s="61"/>
      <c r="D18" s="61"/>
      <c r="E18" s="61"/>
    </row>
    <row r="19" customFormat="false" ht="18" hidden="false" customHeight="true" outlineLevel="0" collapsed="false">
      <c r="A19" s="5" t="n">
        <v>15</v>
      </c>
      <c r="B19" s="60"/>
      <c r="C19" s="60"/>
      <c r="D19" s="60"/>
      <c r="E19" s="60"/>
    </row>
    <row r="20" customFormat="false" ht="18" hidden="false" customHeight="true" outlineLevel="0" collapsed="false">
      <c r="A20" s="5" t="n">
        <v>16</v>
      </c>
      <c r="B20" s="61"/>
      <c r="C20" s="61"/>
      <c r="D20" s="61"/>
      <c r="E20" s="61"/>
    </row>
    <row r="21" customFormat="false" ht="18" hidden="false" customHeight="true" outlineLevel="0" collapsed="false">
      <c r="A21" s="5" t="n">
        <v>17</v>
      </c>
      <c r="B21" s="60"/>
      <c r="C21" s="60"/>
      <c r="D21" s="60"/>
      <c r="E21" s="60"/>
    </row>
    <row r="22" customFormat="false" ht="18" hidden="false" customHeight="true" outlineLevel="0" collapsed="false">
      <c r="A22" s="5" t="n">
        <v>18</v>
      </c>
      <c r="B22" s="61"/>
      <c r="C22" s="61"/>
      <c r="D22" s="61"/>
      <c r="E22" s="61"/>
    </row>
    <row r="23" customFormat="false" ht="18" hidden="false" customHeight="true" outlineLevel="0" collapsed="false">
      <c r="A23" s="5" t="n">
        <v>19</v>
      </c>
      <c r="B23" s="60"/>
      <c r="C23" s="60"/>
      <c r="D23" s="60"/>
      <c r="E23" s="60"/>
    </row>
    <row r="24" customFormat="false" ht="18" hidden="false" customHeight="true" outlineLevel="0" collapsed="false">
      <c r="A24" s="5" t="n">
        <v>20</v>
      </c>
      <c r="B24" s="61"/>
      <c r="C24" s="61"/>
      <c r="D24" s="61"/>
      <c r="E24" s="61"/>
    </row>
    <row r="25" customFormat="false" ht="18" hidden="false" customHeight="true" outlineLevel="0" collapsed="false">
      <c r="A25" s="5" t="n">
        <v>21</v>
      </c>
      <c r="B25" s="60"/>
      <c r="C25" s="60"/>
      <c r="D25" s="60"/>
      <c r="E25" s="60"/>
    </row>
    <row r="26" customFormat="false" ht="18" hidden="false" customHeight="true" outlineLevel="0" collapsed="false">
      <c r="A26" s="5" t="n">
        <v>22</v>
      </c>
      <c r="B26" s="61"/>
      <c r="C26" s="61"/>
      <c r="D26" s="61"/>
      <c r="E26" s="61"/>
    </row>
    <row r="27" customFormat="false" ht="18" hidden="false" customHeight="true" outlineLevel="0" collapsed="false">
      <c r="A27" s="5" t="n">
        <v>23</v>
      </c>
      <c r="B27" s="60"/>
      <c r="C27" s="60"/>
      <c r="D27" s="60"/>
      <c r="E27" s="60"/>
    </row>
    <row r="28" customFormat="false" ht="18" hidden="false" customHeight="true" outlineLevel="0" collapsed="false">
      <c r="A28" s="5" t="n">
        <v>24</v>
      </c>
      <c r="B28" s="61"/>
      <c r="C28" s="61"/>
      <c r="D28" s="61"/>
      <c r="E28" s="61"/>
    </row>
    <row r="29" customFormat="false" ht="18" hidden="false" customHeight="true" outlineLevel="0" collapsed="false">
      <c r="A29" s="5" t="n">
        <v>25</v>
      </c>
      <c r="B29" s="60"/>
      <c r="C29" s="60"/>
      <c r="D29" s="60"/>
      <c r="E29" s="60"/>
    </row>
    <row r="30" customFormat="false" ht="18" hidden="false" customHeight="true" outlineLevel="0" collapsed="false">
      <c r="A30" s="5" t="n">
        <v>26</v>
      </c>
      <c r="B30" s="61"/>
      <c r="C30" s="61"/>
      <c r="D30" s="61"/>
      <c r="E30" s="61"/>
    </row>
    <row r="31" customFormat="false" ht="18" hidden="false" customHeight="true" outlineLevel="0" collapsed="false">
      <c r="A31" s="5" t="n">
        <v>27</v>
      </c>
      <c r="B31" s="60"/>
      <c r="C31" s="60"/>
      <c r="D31" s="60"/>
      <c r="E31" s="60"/>
    </row>
    <row r="32" customFormat="false" ht="18" hidden="false" customHeight="true" outlineLevel="0" collapsed="false">
      <c r="A32" s="5" t="n">
        <v>28</v>
      </c>
      <c r="B32" s="61"/>
      <c r="C32" s="61"/>
      <c r="D32" s="61"/>
      <c r="E32" s="61"/>
    </row>
    <row r="33" customFormat="false" ht="18" hidden="false" customHeight="true" outlineLevel="0" collapsed="false">
      <c r="A33" s="5" t="n">
        <v>29</v>
      </c>
      <c r="B33" s="60"/>
      <c r="C33" s="60"/>
      <c r="D33" s="60"/>
      <c r="E33" s="60"/>
    </row>
    <row r="34" customFormat="false" ht="18" hidden="false" customHeight="true" outlineLevel="0" collapsed="false">
      <c r="A34" s="5" t="n">
        <v>30</v>
      </c>
      <c r="B34" s="61"/>
      <c r="C34" s="61"/>
      <c r="D34" s="61"/>
      <c r="E34" s="61"/>
    </row>
    <row r="35" customFormat="false" ht="9.75" hidden="false" customHeight="true" outlineLevel="0" collapsed="false"/>
    <row r="36" customFormat="false" ht="15" hidden="false" customHeight="true" outlineLevel="0" collapsed="false">
      <c r="A36" s="42" t="s">
        <v>96</v>
      </c>
      <c r="B36" s="42"/>
      <c r="C36" s="42"/>
      <c r="D36" s="42"/>
      <c r="E36" s="42"/>
    </row>
    <row r="37" customFormat="false" ht="21.75" hidden="false" customHeight="true" outlineLevel="0" collapsed="false">
      <c r="A37" s="62" t="s">
        <v>8</v>
      </c>
      <c r="B37" s="63" t="str">
        <f aca="false">IFERROR(AVERAGE(B5:B34),"")</f>
        <v/>
      </c>
      <c r="C37" s="63" t="str">
        <f aca="false">IFERROR(AVERAGE(C5:C34),"")</f>
        <v/>
      </c>
      <c r="D37" s="63" t="str">
        <f aca="false">IFERROR(AVERAGE(D5:D34),"")</f>
        <v/>
      </c>
      <c r="E37" s="63" t="str">
        <f aca="false">IFERROR(AVERAGE(E5:E34),"")</f>
        <v/>
      </c>
    </row>
    <row r="38" customFormat="false" ht="21.75" hidden="false" customHeight="true" outlineLevel="0" collapsed="false">
      <c r="A38" s="62" t="s">
        <v>70</v>
      </c>
      <c r="B38" s="63" t="str">
        <f aca="false">IFERROR(MEDIAN(B5:B34),"")</f>
        <v/>
      </c>
      <c r="C38" s="63" t="str">
        <f aca="false">IFERROR(MEDIAN(C5:C34),"")</f>
        <v/>
      </c>
      <c r="D38" s="63" t="str">
        <f aca="false">IFERROR(MEDIAN(D5:D34),"")</f>
        <v/>
      </c>
      <c r="E38" s="63" t="str">
        <f aca="false">IFERROR(MEDIAN(E5:E34),"")</f>
        <v/>
      </c>
    </row>
    <row r="39" customFormat="false" ht="21.75" hidden="false" customHeight="true" outlineLevel="0" collapsed="false">
      <c r="A39" s="62" t="s">
        <v>97</v>
      </c>
      <c r="B39" s="63" t="str">
        <f aca="false">IFERROR(STDEV(B5:B34),"")</f>
        <v/>
      </c>
      <c r="C39" s="63" t="str">
        <f aca="false">IFERROR(STDEV(C5:C34),"")</f>
        <v/>
      </c>
      <c r="D39" s="63" t="str">
        <f aca="false">IFERROR(STDEV(D5:D34),"")</f>
        <v/>
      </c>
      <c r="E39" s="63" t="str">
        <f aca="false">IFERROR(STDEV(E5:E34),"")</f>
        <v/>
      </c>
    </row>
    <row r="40" customFormat="false" ht="21.75" hidden="false" customHeight="true" outlineLevel="0" collapsed="false">
      <c r="A40" s="62" t="s">
        <v>98</v>
      </c>
      <c r="B40" s="64" t="n">
        <f aca="false">COUNT(B5:B34)</f>
        <v>0</v>
      </c>
      <c r="C40" s="64" t="n">
        <f aca="false">COUNT(C5:C34)</f>
        <v>0</v>
      </c>
      <c r="D40" s="64" t="n">
        <f aca="false">COUNT(D5:D34)</f>
        <v>0</v>
      </c>
      <c r="E40" s="64" t="n">
        <f aca="false">COUNT(E5:E34)</f>
        <v>0</v>
      </c>
    </row>
  </sheetData>
  <mergeCells count="3">
    <mergeCell ref="A1:E1"/>
    <mergeCell ref="A2:E2"/>
    <mergeCell ref="A36:E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2026-09-08T12:00:00Z</dcterms:created>
  <dc:creator>openpyxl</dc:creator>
  <dc:description/>
  <dc:language>en-US</dc:language>
  <cp:lastModifiedBy/>
  <dcterms:modified xsi:type="dcterms:W3CDTF">2026-09-08T12:40:28Z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